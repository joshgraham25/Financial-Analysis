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Export" sheetId="1" state="visible" r:id="rId1"/>
    <sheet name="Report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5171C"/>
      <sz val="14"/>
    </font>
    <font>
      <b val="1"/>
      <color rgb="0015171C"/>
    </font>
    <font>
      <b val="1"/>
      <color rgb="00A8121F"/>
    </font>
    <font>
      <b val="1"/>
    </font>
  </fonts>
  <fills count="3">
    <fill>
      <patternFill/>
    </fill>
    <fill>
      <patternFill patternType="gray125"/>
    </fill>
    <fill>
      <patternFill patternType="solid">
        <fgColor rgb="00A8121F"/>
      </patternFill>
    </fill>
  </fills>
  <borders count="2">
    <border>
      <left/>
      <right/>
      <top/>
      <bottom/>
      <diagonal/>
    </border>
    <border>
      <bottom style="thin">
        <color rgb="00D5DA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RP_Export" displayName="ERP_Export" ref="A1:E41" headerRowCount="1">
  <autoFilter ref="A1:E41"/>
  <tableColumns count="5">
    <tableColumn id="1" name="Job No"/>
    <tableColumn id="2" name="Customer"/>
    <tableColumn id="3" name="Part No"/>
    <tableColumn id="4" name="Cost Center"/>
    <tableColumn id="5" name="Amoun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Job No</t>
        </is>
      </c>
      <c r="B1" s="1" t="inlineStr">
        <is>
          <t>Customer</t>
        </is>
      </c>
      <c r="C1" s="1" t="inlineStr">
        <is>
          <t>Part No</t>
        </is>
      </c>
      <c r="D1" s="1" t="inlineStr">
        <is>
          <t>Cost Center</t>
        </is>
      </c>
      <c r="E1" s="1" t="inlineStr">
        <is>
          <t>Amount</t>
        </is>
      </c>
    </row>
    <row r="2">
      <c r="A2" s="2" t="inlineStr">
        <is>
          <t>J-4200</t>
        </is>
      </c>
      <c r="B2" s="2" t="inlineStr">
        <is>
          <t>Cardinal Stamping</t>
        </is>
      </c>
      <c r="C2" s="2" t="inlineStr">
        <is>
          <t>HSG-319</t>
        </is>
      </c>
      <c r="D2" s="2" t="n">
        <v>1100</v>
      </c>
      <c r="E2" s="3" t="n">
        <v>19050.94</v>
      </c>
    </row>
    <row r="3">
      <c r="A3" s="2" t="inlineStr">
        <is>
          <t>J-4207</t>
        </is>
      </c>
      <c r="B3" s="2" t="inlineStr">
        <is>
          <t>Halstead Motive</t>
        </is>
      </c>
      <c r="C3" s="2" t="inlineStr">
        <is>
          <t>MNT-300</t>
        </is>
      </c>
      <c r="D3" s="2" t="n">
        <v>3100</v>
      </c>
      <c r="E3" s="3" t="n">
        <v>8616.379999999999</v>
      </c>
    </row>
    <row r="4">
      <c r="A4" s="2" t="inlineStr">
        <is>
          <t>J-4214</t>
        </is>
      </c>
      <c r="B4" s="2" t="inlineStr">
        <is>
          <t>Northwind Trailer</t>
        </is>
      </c>
      <c r="C4" s="2" t="inlineStr">
        <is>
          <t>CVR-129</t>
        </is>
      </c>
      <c r="D4" s="2" t="n">
        <v>1300</v>
      </c>
      <c r="E4" s="3" t="n">
        <v>16355.75</v>
      </c>
    </row>
    <row r="5">
      <c r="A5" s="2" t="inlineStr">
        <is>
          <t>J-4221</t>
        </is>
      </c>
      <c r="B5" s="2" t="inlineStr">
        <is>
          <t>Ironwood Components</t>
        </is>
      </c>
      <c r="C5" s="2" t="inlineStr">
        <is>
          <t>MNT-795</t>
        </is>
      </c>
      <c r="D5" s="2" t="n">
        <v>2200</v>
      </c>
      <c r="E5" s="3" t="n">
        <v>19957.05</v>
      </c>
    </row>
    <row r="6">
      <c r="A6" s="2" t="inlineStr">
        <is>
          <t>J-4228</t>
        </is>
      </c>
      <c r="B6" s="2" t="inlineStr">
        <is>
          <t>Lakeshore Fabrication</t>
        </is>
      </c>
      <c r="C6" s="2" t="inlineStr">
        <is>
          <t>HSG-292</t>
        </is>
      </c>
      <c r="D6" s="2" t="n">
        <v>1300</v>
      </c>
      <c r="E6" s="3" t="n">
        <v>13656.85</v>
      </c>
    </row>
    <row r="7">
      <c r="A7" s="2" t="inlineStr">
        <is>
          <t>J-4235</t>
        </is>
      </c>
      <c r="B7" s="2" t="inlineStr">
        <is>
          <t>Bellweather Tool</t>
        </is>
      </c>
      <c r="C7" s="2" t="inlineStr">
        <is>
          <t>CVR-744</t>
        </is>
      </c>
      <c r="D7" s="2" t="n">
        <v>2200</v>
      </c>
      <c r="E7" s="3" t="n">
        <v>22591.89</v>
      </c>
    </row>
    <row r="8">
      <c r="A8" s="2" t="inlineStr">
        <is>
          <t>J-4242</t>
        </is>
      </c>
      <c r="B8" s="2" t="inlineStr">
        <is>
          <t>Halstead Motive</t>
        </is>
      </c>
      <c r="C8" s="2" t="inlineStr">
        <is>
          <t>BRK-738</t>
        </is>
      </c>
      <c r="D8" s="2" t="n">
        <v>1200</v>
      </c>
      <c r="E8" s="3" t="n">
        <v>20667.81</v>
      </c>
    </row>
    <row r="9">
      <c r="A9" s="2" t="inlineStr">
        <is>
          <t>J-4249</t>
        </is>
      </c>
      <c r="B9" s="2" t="inlineStr">
        <is>
          <t>Provost Industrial</t>
        </is>
      </c>
      <c r="C9" s="2" t="inlineStr">
        <is>
          <t>BRK-933</t>
        </is>
      </c>
      <c r="D9" s="2" t="n">
        <v>1100</v>
      </c>
      <c r="E9" s="3" t="n">
        <v>6427.69</v>
      </c>
    </row>
    <row r="10">
      <c r="A10" s="2" t="inlineStr">
        <is>
          <t>J-4256</t>
        </is>
      </c>
      <c r="B10" s="2" t="inlineStr">
        <is>
          <t>Halstead Motive</t>
        </is>
      </c>
      <c r="C10" s="2" t="inlineStr">
        <is>
          <t>PLT-535</t>
        </is>
      </c>
      <c r="D10" s="2" t="n">
        <v>1100</v>
      </c>
      <c r="E10" s="3" t="n">
        <v>18775.56</v>
      </c>
    </row>
    <row r="11">
      <c r="A11" s="2" t="inlineStr">
        <is>
          <t>J-4263</t>
        </is>
      </c>
      <c r="B11" s="2" t="inlineStr">
        <is>
          <t>Northwind Trailer</t>
        </is>
      </c>
      <c r="C11" s="2" t="inlineStr">
        <is>
          <t>PLT-618</t>
        </is>
      </c>
      <c r="D11" s="2" t="n">
        <v>2200</v>
      </c>
      <c r="E11" s="3" t="n">
        <v>16488.43</v>
      </c>
    </row>
    <row r="12">
      <c r="A12" s="2" t="inlineStr">
        <is>
          <t>J-4270</t>
        </is>
      </c>
      <c r="B12" s="2" t="inlineStr">
        <is>
          <t>Northwind Trailer</t>
        </is>
      </c>
      <c r="C12" s="2" t="inlineStr">
        <is>
          <t>BRK-679</t>
        </is>
      </c>
      <c r="D12" s="2" t="n">
        <v>1200</v>
      </c>
      <c r="E12" s="3" t="n">
        <v>21371.81</v>
      </c>
    </row>
    <row r="13">
      <c r="A13" s="2" t="inlineStr">
        <is>
          <t>J-4277</t>
        </is>
      </c>
      <c r="B13" s="2" t="inlineStr">
        <is>
          <t>Meridian Plastics</t>
        </is>
      </c>
      <c r="C13" s="2" t="inlineStr">
        <is>
          <t>MNT-532</t>
        </is>
      </c>
      <c r="D13" s="2" t="n">
        <v>2100</v>
      </c>
      <c r="E13" s="3" t="n">
        <v>1228.18</v>
      </c>
    </row>
    <row r="14">
      <c r="A14" s="2" t="inlineStr">
        <is>
          <t>J-4284</t>
        </is>
      </c>
      <c r="B14" s="2" t="inlineStr">
        <is>
          <t>Lakeshore Fabrication</t>
        </is>
      </c>
      <c r="C14" s="2" t="inlineStr">
        <is>
          <t>PLT-431</t>
        </is>
      </c>
      <c r="D14" s="2" t="n">
        <v>1200</v>
      </c>
      <c r="E14" s="3" t="n">
        <v>15239.17</v>
      </c>
    </row>
    <row r="15">
      <c r="A15" s="2" t="inlineStr">
        <is>
          <t>J-4291</t>
        </is>
      </c>
      <c r="B15" s="2" t="inlineStr">
        <is>
          <t>Lakeshore Fabrication</t>
        </is>
      </c>
      <c r="C15" s="2" t="inlineStr">
        <is>
          <t>HSG-768</t>
        </is>
      </c>
      <c r="D15" s="2" t="n">
        <v>2200</v>
      </c>
      <c r="E15" s="3" t="n">
        <v>19867.65</v>
      </c>
    </row>
    <row r="16">
      <c r="A16" s="2" t="inlineStr">
        <is>
          <t>J-4298</t>
        </is>
      </c>
      <c r="B16" s="2" t="inlineStr">
        <is>
          <t>Halstead Motive</t>
        </is>
      </c>
      <c r="C16" s="2" t="inlineStr">
        <is>
          <t>PLT-793</t>
        </is>
      </c>
      <c r="D16" s="2" t="n">
        <v>3100</v>
      </c>
      <c r="E16" s="3" t="n">
        <v>3296.9</v>
      </c>
    </row>
    <row r="17">
      <c r="A17" s="2" t="inlineStr">
        <is>
          <t>J-4305</t>
        </is>
      </c>
      <c r="B17" s="2" t="inlineStr">
        <is>
          <t>Lakeshore Fabrication</t>
        </is>
      </c>
      <c r="C17" s="2" t="inlineStr">
        <is>
          <t>MNT-646</t>
        </is>
      </c>
      <c r="D17" s="2" t="n">
        <v>1200</v>
      </c>
      <c r="E17" s="3" t="n">
        <v>19735.11</v>
      </c>
    </row>
    <row r="18">
      <c r="A18" s="2" t="inlineStr">
        <is>
          <t>J-4312</t>
        </is>
      </c>
      <c r="B18" s="2" t="inlineStr">
        <is>
          <t>Northwind Trailer</t>
        </is>
      </c>
      <c r="C18" s="2" t="inlineStr">
        <is>
          <t>PLT-914</t>
        </is>
      </c>
      <c r="D18" s="2" t="n">
        <v>1200</v>
      </c>
      <c r="E18" s="3" t="n">
        <v>15992.24</v>
      </c>
    </row>
    <row r="19">
      <c r="A19" s="2" t="inlineStr">
        <is>
          <t>J-4319</t>
        </is>
      </c>
      <c r="B19" s="2" t="inlineStr">
        <is>
          <t>Meridian Plastics</t>
        </is>
      </c>
      <c r="C19" s="2" t="inlineStr">
        <is>
          <t>HSG-980</t>
        </is>
      </c>
      <c r="D19" s="2" t="n">
        <v>2200</v>
      </c>
      <c r="E19" s="3" t="n">
        <v>18403.16</v>
      </c>
    </row>
    <row r="20">
      <c r="A20" s="2" t="inlineStr">
        <is>
          <t>J-4326</t>
        </is>
      </c>
      <c r="B20" s="2" t="inlineStr">
        <is>
          <t>Provost Industrial</t>
        </is>
      </c>
      <c r="C20" s="2" t="inlineStr">
        <is>
          <t>PLT-704</t>
        </is>
      </c>
      <c r="D20" s="2" t="n">
        <v>1100</v>
      </c>
      <c r="E20" s="3" t="n">
        <v>4511.75</v>
      </c>
    </row>
    <row r="21">
      <c r="A21" s="2" t="inlineStr">
        <is>
          <t>J-4333</t>
        </is>
      </c>
      <c r="B21" s="2" t="inlineStr">
        <is>
          <t>Lakeshore Fabrication</t>
        </is>
      </c>
      <c r="C21" s="2" t="inlineStr">
        <is>
          <t>BRK-691</t>
        </is>
      </c>
      <c r="D21" s="2" t="n">
        <v>1300</v>
      </c>
      <c r="E21" s="3" t="n">
        <v>2953.43</v>
      </c>
    </row>
    <row r="22">
      <c r="A22" s="2" t="inlineStr">
        <is>
          <t>J-4340</t>
        </is>
      </c>
      <c r="B22" s="2" t="inlineStr">
        <is>
          <t>Provost Industrial</t>
        </is>
      </c>
      <c r="C22" s="2" t="inlineStr">
        <is>
          <t>PLT-459</t>
        </is>
      </c>
      <c r="D22" s="2" t="n">
        <v>3100</v>
      </c>
      <c r="E22" s="3" t="n">
        <v>6973.54</v>
      </c>
    </row>
    <row r="23">
      <c r="A23" s="2" t="inlineStr">
        <is>
          <t>J-4347</t>
        </is>
      </c>
      <c r="B23" s="2" t="inlineStr">
        <is>
          <t>Bellweather Tool</t>
        </is>
      </c>
      <c r="C23" s="2" t="inlineStr">
        <is>
          <t>BRK-869</t>
        </is>
      </c>
      <c r="D23" s="2" t="n">
        <v>1100</v>
      </c>
      <c r="E23" s="3" t="n">
        <v>5511.4</v>
      </c>
    </row>
    <row r="24">
      <c r="A24" s="2" t="inlineStr">
        <is>
          <t>J-4354</t>
        </is>
      </c>
      <c r="B24" s="2" t="inlineStr">
        <is>
          <t>Ironwood Components</t>
        </is>
      </c>
      <c r="C24" s="2" t="inlineStr">
        <is>
          <t>PLT-120</t>
        </is>
      </c>
      <c r="D24" s="2" t="n">
        <v>2100</v>
      </c>
      <c r="E24" s="3" t="n">
        <v>1298.07</v>
      </c>
    </row>
    <row r="25">
      <c r="A25" s="2" t="inlineStr">
        <is>
          <t>J-4361</t>
        </is>
      </c>
      <c r="B25" s="2" t="inlineStr">
        <is>
          <t>Bellweather Tool</t>
        </is>
      </c>
      <c r="C25" s="2" t="inlineStr">
        <is>
          <t>BRK-507</t>
        </is>
      </c>
      <c r="D25" s="2" t="n">
        <v>2200</v>
      </c>
      <c r="E25" s="3" t="n">
        <v>3615.31</v>
      </c>
    </row>
    <row r="26">
      <c r="A26" s="2" t="inlineStr">
        <is>
          <t>J-4368</t>
        </is>
      </c>
      <c r="B26" s="2" t="inlineStr">
        <is>
          <t>Ironwood Components</t>
        </is>
      </c>
      <c r="C26" s="2" t="inlineStr">
        <is>
          <t>PLT-931</t>
        </is>
      </c>
      <c r="D26" s="2" t="n">
        <v>1100</v>
      </c>
      <c r="E26" s="3" t="n">
        <v>8007.83</v>
      </c>
    </row>
    <row r="27">
      <c r="A27" s="2" t="inlineStr">
        <is>
          <t>J-4375</t>
        </is>
      </c>
      <c r="B27" s="2" t="inlineStr">
        <is>
          <t>Northwind Trailer</t>
        </is>
      </c>
      <c r="C27" s="2" t="inlineStr">
        <is>
          <t>BRK-592</t>
        </is>
      </c>
      <c r="D27" s="2" t="n">
        <v>2100</v>
      </c>
      <c r="E27" s="3" t="n">
        <v>13951.96</v>
      </c>
    </row>
    <row r="28">
      <c r="A28" s="2" t="inlineStr">
        <is>
          <t>J-4382</t>
        </is>
      </c>
      <c r="B28" s="2" t="inlineStr">
        <is>
          <t>Ironwood Components</t>
        </is>
      </c>
      <c r="C28" s="2" t="inlineStr">
        <is>
          <t>CVR-678</t>
        </is>
      </c>
      <c r="D28" s="2" t="n">
        <v>2100</v>
      </c>
      <c r="E28" s="3" t="n">
        <v>3561.61</v>
      </c>
    </row>
    <row r="29">
      <c r="A29" s="2" t="inlineStr">
        <is>
          <t>J-4389</t>
        </is>
      </c>
      <c r="B29" s="2" t="inlineStr">
        <is>
          <t>Northwind Trailer</t>
        </is>
      </c>
      <c r="C29" s="2" t="inlineStr">
        <is>
          <t>CVR-281</t>
        </is>
      </c>
      <c r="D29" s="2" t="n">
        <v>2100</v>
      </c>
      <c r="E29" s="3" t="n">
        <v>7909.27</v>
      </c>
    </row>
    <row r="30">
      <c r="A30" s="2" t="inlineStr">
        <is>
          <t>J-4396</t>
        </is>
      </c>
      <c r="B30" s="2" t="inlineStr">
        <is>
          <t>Cardinal Stamping</t>
        </is>
      </c>
      <c r="C30" s="2" t="inlineStr">
        <is>
          <t>CVR-705</t>
        </is>
      </c>
      <c r="D30" s="2" t="n">
        <v>3100</v>
      </c>
      <c r="E30" s="3" t="n">
        <v>7736.13</v>
      </c>
    </row>
    <row r="31">
      <c r="A31" s="2" t="inlineStr">
        <is>
          <t>J-4403</t>
        </is>
      </c>
      <c r="B31" s="2" t="inlineStr">
        <is>
          <t>Northwind Trailer</t>
        </is>
      </c>
      <c r="C31" s="2" t="inlineStr">
        <is>
          <t>HSG-622</t>
        </is>
      </c>
      <c r="D31" s="2" t="n">
        <v>1300</v>
      </c>
      <c r="E31" s="3" t="n">
        <v>21233.69</v>
      </c>
    </row>
    <row r="32">
      <c r="A32" s="2" t="inlineStr">
        <is>
          <t>J-4410</t>
        </is>
      </c>
      <c r="B32" s="2" t="inlineStr">
        <is>
          <t>Cardinal Stamping</t>
        </is>
      </c>
      <c r="C32" s="2" t="inlineStr">
        <is>
          <t>HSG-107</t>
        </is>
      </c>
      <c r="D32" s="2" t="n">
        <v>2100</v>
      </c>
      <c r="E32" s="3" t="n">
        <v>4352.62</v>
      </c>
    </row>
    <row r="33">
      <c r="A33" s="2" t="inlineStr">
        <is>
          <t>J-4417</t>
        </is>
      </c>
      <c r="B33" s="2" t="inlineStr">
        <is>
          <t>Halstead Motive</t>
        </is>
      </c>
      <c r="C33" s="2" t="inlineStr">
        <is>
          <t>PLT-316</t>
        </is>
      </c>
      <c r="D33" s="2" t="n">
        <v>1200</v>
      </c>
      <c r="E33" s="3" t="n">
        <v>15991.54</v>
      </c>
    </row>
    <row r="34">
      <c r="A34" s="2" t="inlineStr">
        <is>
          <t>J-4424</t>
        </is>
      </c>
      <c r="B34" s="2" t="inlineStr">
        <is>
          <t>Northwind Trailer</t>
        </is>
      </c>
      <c r="C34" s="2" t="inlineStr">
        <is>
          <t>MNT-590</t>
        </is>
      </c>
      <c r="D34" s="2" t="n">
        <v>2200</v>
      </c>
      <c r="E34" s="3" t="n">
        <v>20919.78</v>
      </c>
    </row>
    <row r="35">
      <c r="A35" s="2" t="inlineStr">
        <is>
          <t>J-4431</t>
        </is>
      </c>
      <c r="B35" s="2" t="inlineStr">
        <is>
          <t>Lakeshore Fabrication</t>
        </is>
      </c>
      <c r="C35" s="2" t="inlineStr">
        <is>
          <t>CVR-590</t>
        </is>
      </c>
      <c r="D35" s="2" t="n">
        <v>3100</v>
      </c>
      <c r="E35" s="3" t="n">
        <v>5982.19</v>
      </c>
    </row>
    <row r="36">
      <c r="A36" s="2" t="inlineStr">
        <is>
          <t>J-4438</t>
        </is>
      </c>
      <c r="B36" s="2" t="inlineStr">
        <is>
          <t>Ironwood Components</t>
        </is>
      </c>
      <c r="C36" s="2" t="inlineStr">
        <is>
          <t>MNT-450</t>
        </is>
      </c>
      <c r="D36" s="2" t="n">
        <v>1300</v>
      </c>
      <c r="E36" s="3" t="n">
        <v>22866.09</v>
      </c>
    </row>
    <row r="37">
      <c r="A37" s="2" t="inlineStr">
        <is>
          <t>J-4445</t>
        </is>
      </c>
      <c r="B37" s="2" t="inlineStr">
        <is>
          <t>Meridian Plastics</t>
        </is>
      </c>
      <c r="C37" s="2" t="inlineStr">
        <is>
          <t>BRK-786</t>
        </is>
      </c>
      <c r="D37" s="2" t="n">
        <v>2200</v>
      </c>
      <c r="E37" s="3" t="n">
        <v>19835.49</v>
      </c>
    </row>
    <row r="38">
      <c r="A38" s="2" t="inlineStr">
        <is>
          <t>J-4452</t>
        </is>
      </c>
      <c r="B38" s="2" t="inlineStr">
        <is>
          <t>Provost Industrial</t>
        </is>
      </c>
      <c r="C38" s="2" t="inlineStr">
        <is>
          <t>CVR-792</t>
        </is>
      </c>
      <c r="D38" s="2" t="n">
        <v>1200</v>
      </c>
      <c r="E38" s="3" t="n">
        <v>10001.64</v>
      </c>
    </row>
    <row r="39">
      <c r="A39" s="2" t="inlineStr">
        <is>
          <t>J-4459</t>
        </is>
      </c>
      <c r="B39" s="2" t="inlineStr">
        <is>
          <t>Lakeshore Fabrication</t>
        </is>
      </c>
      <c r="C39" s="2" t="inlineStr">
        <is>
          <t>CVR-770</t>
        </is>
      </c>
      <c r="D39" s="2" t="n">
        <v>2200</v>
      </c>
      <c r="E39" s="3" t="n">
        <v>8233.610000000001</v>
      </c>
    </row>
    <row r="40">
      <c r="A40" s="2" t="inlineStr">
        <is>
          <t>J-4466</t>
        </is>
      </c>
      <c r="B40" s="2" t="inlineStr">
        <is>
          <t>Provost Industrial</t>
        </is>
      </c>
      <c r="C40" s="2" t="inlineStr">
        <is>
          <t>BRK-170</t>
        </is>
      </c>
      <c r="D40" s="2" t="n">
        <v>1300</v>
      </c>
      <c r="E40" s="3" t="n">
        <v>9690.17</v>
      </c>
    </row>
    <row r="41">
      <c r="A41" s="2" t="inlineStr">
        <is>
          <t>J-4473</t>
        </is>
      </c>
      <c r="B41" s="2" t="inlineStr">
        <is>
          <t>Meridian Plastics</t>
        </is>
      </c>
      <c r="C41" s="2" t="inlineStr">
        <is>
          <t>PLT-252</t>
        </is>
      </c>
      <c r="D41" s="2" t="n">
        <v>1200</v>
      </c>
      <c r="E41" s="3" t="n">
        <v>16279.01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</cols>
  <sheetData>
    <row r="2">
      <c r="B2" s="4" t="inlineStr">
        <is>
          <t>Look up a job</t>
        </is>
      </c>
    </row>
    <row r="4">
      <c r="B4" s="5" t="inlineStr">
        <is>
          <t>Job No</t>
        </is>
      </c>
      <c r="C4" t="inlineStr">
        <is>
          <t>J-4277</t>
        </is>
      </c>
    </row>
    <row r="5">
      <c r="B5" s="5" t="inlineStr">
        <is>
          <t>Amount</t>
        </is>
      </c>
      <c r="C5" s="6" t="n"/>
    </row>
    <row r="7">
      <c r="B7" s="4" t="inlineStr">
        <is>
          <t>Look up a part</t>
        </is>
      </c>
    </row>
    <row r="9">
      <c r="B9" s="5" t="inlineStr">
        <is>
          <t>Part No</t>
        </is>
      </c>
      <c r="C9" t="inlineStr">
        <is>
          <t>MNT-532</t>
        </is>
      </c>
    </row>
    <row r="10">
      <c r="B10" s="5" t="inlineStr">
        <is>
          <t>Job No</t>
        </is>
      </c>
      <c r="C10" s="6" t="n"/>
    </row>
    <row r="12">
      <c r="B12" s="4" t="inlineStr">
        <is>
          <t>A job that isn't there</t>
        </is>
      </c>
    </row>
    <row r="14">
      <c r="B14" s="5" t="inlineStr">
        <is>
          <t>Job No</t>
        </is>
      </c>
      <c r="C14" t="inlineStr">
        <is>
          <t>J-9999</t>
        </is>
      </c>
    </row>
    <row r="15">
      <c r="B15" s="5" t="inlineStr">
        <is>
          <t>Amount</t>
        </is>
      </c>
      <c r="C1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7" t="inlineStr">
        <is>
          <t>KEEP THIS SHEET OFF SCREEN WHILE RECORDING</t>
        </is>
      </c>
    </row>
    <row r="3">
      <c r="A3" s="8" t="inlineStr">
        <is>
          <t>The VLOOKUP that works</t>
        </is>
      </c>
      <c r="B3">
        <f>VLOOKUP(C4,'ERP Export'!A:E,5,FALSE)</f>
        <v/>
      </c>
    </row>
    <row r="4">
      <c r="A4" s="8" t="inlineStr">
        <is>
          <t>...and silently breaks</t>
        </is>
      </c>
      <c r="B4" t="inlineStr">
        <is>
          <t>insert a column anywhere in A:E -- 5 now points at Cost Center</t>
        </is>
      </c>
    </row>
    <row r="5">
      <c r="A5" s="8" t="inlineStr">
        <is>
          <t>XLOOKUP, same answer</t>
        </is>
      </c>
      <c r="B5">
        <f>XLOOKUP(C4,ERP_Export[Job No],ERP_Export[Amount])</f>
        <v/>
      </c>
    </row>
    <row r="6">
      <c r="A6" s="8" t="inlineStr">
        <is>
          <t>Looking left</t>
        </is>
      </c>
      <c r="B6">
        <f>XLOOKUP(C9,ERP_Export[Part No],ERP_Export[Job No])</f>
        <v/>
      </c>
    </row>
    <row r="7">
      <c r="A7" s="8" t="inlineStr">
        <is>
          <t>If not found</t>
        </is>
      </c>
      <c r="B7">
        <f>XLOOKUP(C14,ERP_Export[Job No],ERP_Export[Amount],"Not found")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2026-09-28T18:34:56Z</dcterms:created>
  <dcterms:modified xsi:type="dcterms:W3CDTF">2026-09-28T18:34:56Z</dcterms:modified>
</cp:coreProperties>
</file>